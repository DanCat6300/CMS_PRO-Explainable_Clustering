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BLUwaxvFX9TGbfyeA+uBICtanBujYix612NSHaZpdY="/>
    </ext>
  </extLst>
</workbook>
</file>

<file path=xl/sharedStrings.xml><?xml version="1.0" encoding="utf-8"?>
<sst xmlns="http://schemas.openxmlformats.org/spreadsheetml/2006/main" count="88" uniqueCount="87">
  <si>
    <t>cluster_id</t>
  </si>
  <si>
    <t>size</t>
  </si>
  <si>
    <t>keywords</t>
  </si>
  <si>
    <t>region</t>
  </si>
  <si>
    <t>period</t>
  </si>
  <si>
    <t>explanation</t>
  </si>
  <si>
    <t>kw_fidelity</t>
  </si>
  <si>
    <t>exp_faithfulness</t>
  </si>
  <si>
    <t>['bsrn', 'station', 'monitoring', 'atmosphere', 'violet', 'ultra', 'measurements', 'plains', 'great', 'basic', 'southern', 'radiation', 'zooplankton', 'goodwin', 'creek']</t>
  </si>
  <si>
    <t>Oklahoma, US</t>
  </si>
  <si>
    <t>1997-2017</t>
  </si>
  <si>
    <t>This cluster of 2,110 datasets contains primarily atmospheric and radiation monitoring station measurements (including BSRN and ultraviolet/violet spectra) centered on the Southern Great Plains near Oklahoma, US, spanning 1997–2017.</t>
  </si>
  <si>
    <t>['dendrochronological', 'object', 'historical', 'tree', 'ring', 'width', 'netherlands', 'quercus', 'sample', 'species', 'drill', 'zooplankton', 'groningen', 'sylvestris', 'pinus']</t>
  </si>
  <si>
    <t>Overijssel, NL</t>
  </si>
  <si>
    <t>2003-2011</t>
  </si>
  <si>
    <t>A cluster of 2,857 datasets centered around Overijssel, Netherlands (median location) from 2003–2011 containing dendrochronological tree‑ring width and historical object measurements—primarily samples of Quercus and Pinus sylvestris and related species.</t>
  </si>
  <si>
    <t>['xbt', 'profiles', 'woce', 'oceanography', 'cruise', 'water', 'scqc', 'temperature', 'dcqc', 'zooplankton', 'thermal', 'odp', 'conductivity', 'hole', 'rig']</t>
  </si>
  <si>
    <t>Saint George, BM</t>
  </si>
  <si>
    <t>1990-1997</t>
  </si>
  <si>
    <t>About 2,479 oceanographic cruise datasets—mostly XBT and profile measurements (temperature, conductivity, thermal/zooplankton data) with WOCE/quality-control metadata—collected around Saint George, Bermuda between 1990 and 1997.</t>
  </si>
  <si>
    <t>['nathaniel', 'palmer', 'jgofs', 'ctd', 'revelle', 'roger', 'rosette', 'odp', 'bottle', 'zooplankton', 'chemistry', 'station', 'drilling', 'sinops', 'physical']</t>
  </si>
  <si>
    <t>Tasmania, AU</t>
  </si>
  <si>
    <t>1997-2000</t>
  </si>
  <si>
    <t>A cluster of 3,815 oceanographic cruise datasets centered near Tasmania, Australia, from 1997–2000 documenting CTD/rosette bottle casts, zooplankton, chemical and physical oceanography from JGOFS/ODP-related cruises aboard vessels like Nathaniel B. Palmer and Roger Revelle.</t>
  </si>
  <si>
    <t>['censor', 'bottle', 'chile', 'odp', 'physical', 'zooplankton', 'niskin', 'station', 'oceanography', 'joides', 'resolution', 'drilling', 'monitoring', 'rig', 'hole']</t>
  </si>
  <si>
    <t>Ica, PE</t>
  </si>
  <si>
    <t>1995-2004</t>
  </si>
  <si>
    <t>A cluster of marine oceanography datasets—focused on physical and biological monitoring (Niskin/bottle casts, zooplankton) and related scientific drilling records (ODP/JOIDES)—centered near Ica, Peru (and adjacent Chilean waters) collected during 1995–2004.</t>
  </si>
  <si>
    <t>['meteor', 'geob', 'sediment', 'type', 'core', 'corer', 'gravity', 'kiel', 'zooplankton', 'lithosphere', 'odp', 'density', 'multicorer', 'content', 'paleontology']</t>
  </si>
  <si>
    <t>Karas, NA</t>
  </si>
  <si>
    <t>1992-2000</t>
  </si>
  <si>
    <t>This cluster of 3,289 datasets, centered around the Karas region of Namibia, comprises 1992–2000 oceanographic and geoscience studies of sediment and gravity/multicorer cores (including ODP/Meteor-related work) focusing on sediment type, density, composition and paleontological/zooplankton content.</t>
  </si>
  <si>
    <t>['bebauungsplan', 'inspireidentifiziert', 'bodennutzung', 'bplan', 'lokal', 'opendata', 'stunden', 'plan', 'stadt', 'gemeinde', 'messwerte', 'enthält', 'aktuelle', 'acht', 'open']</t>
  </si>
  <si>
    <t>North Rhine-Westphalia, DE</t>
  </si>
  <si>
    <t>1993-2023</t>
  </si>
  <si>
    <t>This cluster of 23,952 open datasets (median location: North Rhine-Westphalia, Germany) spans 1993–2023 and focuses on municipal planning and land‑use information—Bebauungspläne/BPlan, Bodennutzung—along with local monitoring/measurement data and INSPIRE-identified open-data records.</t>
  </si>
  <si>
    <t>['radiosonde', 'ant', 'polarstern', 'cruise', 'xxix', 'zooplankton', 'xxiii', 'xii', 'xiii', 'xxvii', 'xxi', 'xxii', 'xxiv', 'xvii', 'xxv']</t>
  </si>
  <si>
    <t>, GS</t>
  </si>
  <si>
    <t>1995-2014</t>
  </si>
  <si>
    <t>From 1995–2014, this cluster (4,365 datasets) comprises Antarctic research cruise records—notably Polarstern ANT series—centered around GS, documenting radiosonde measurements and zooplankton observations.</t>
  </si>
  <si>
    <t>['ice', 'ant', 'neumayer', 'polarstern', 'antarctic', 'antarctica', 'zooplankton', 'station', 'snow', 'measurements', 'cruise', 'lithosphere', 'underway', 'radiosonde', 'laurence']</t>
  </si>
  <si>
    <t>, FK</t>
  </si>
  <si>
    <t>1992-2018</t>
  </si>
  <si>
    <t>A cluster of 5,783 Antarctic polar research datasets (1992–2018) documenting ice, snow, zooplankton and related physical measurements collected during research cruises and at stations (e.g., RV Polarstern, Neumayer) centered around the Falkland Islands median location.</t>
  </si>
  <si>
    <t>['queen', 'ark', 'arctic', 'awi', 'land', 'expedition', 'sediment', 'core', 'permafrost', 'zooplankton', 'corer', 'delta', 'river', 'lithosphere', 'transdrift']</t>
  </si>
  <si>
    <t>Sakha, RU</t>
  </si>
  <si>
    <t>1993-2014</t>
  </si>
  <si>
    <t>From 1993–2014, this cluster of 2,092 datasets centered on Sakha (Arctic Russia) documents expedition and field studies—notably AWI/Transdrift research cruises—focusing on permafrost and sediment cores, river and delta processes, zooplankton, and lithospheric/sediment investigations.</t>
  </si>
  <si>
    <t>['odp', 'joides', 'drilling', 'rig', 'resolution', 'hole', 'drill', 'zooplankton', 'table', 'site', 'core', 'paleontology', 'sediments', 'isotope', 'composite']</t>
  </si>
  <si>
    <t>Santiago de Cuba, CU</t>
  </si>
  <si>
    <t>1994-1997</t>
  </si>
  <si>
    <t>Centered near Santiago de Cuba and dated 1994–1997, this cluster of ~2,984 datasets documents Ocean Drilling Program (JOIDES/ODP) sediment cores and drill-hole records—site and composite core data used for paleontological (notably zooplankton), isotopic, and sedimentological analyses and stratigraphic resolution.</t>
  </si>
  <si>
    <t>['drifter', 'current', 'longterm', 'velocity', 'woce', 'surface', 'hot', 'water', 'temperature', 'zooplankton', 'moana', 'wave', 'doppler', 'acoustic', 'sac']</t>
  </si>
  <si>
    <t>Tamaulipas, MX</t>
  </si>
  <si>
    <t>1991-2000</t>
  </si>
  <si>
    <t>A large (2,718-dataset) cluster of oceanographic observations centered near Tamaulipas, Mexico, comprising drifter and surface current/velocity measurements (including Doppler/ADCP), sea surface temperature and salinity, waves and biological data (zooplankton), largely from long‑term/WOCE‑style campaigns collected during 1991–2000.</t>
  </si>
  <si>
    <t>['global', 'climate', 'area', 'grib', 'model', 'hpa', 'grid', 'definable', 'change', 'information', 'esa', 'point', 'project', 'intercomparison', 'cci']</t>
  </si>
  <si>
    <t>Ribeira Grande, CV</t>
  </si>
  <si>
    <t>1994-2018</t>
  </si>
  <si>
    <t>This cluster (2419 datasets) comprises gridded global climate and atmospheric model/observation products (often GRIB) — including pressure-level (hPa) and other variables — used in ESA CCI intercomparisons and climate-change analyses, spanning 1994–2018 and centered (median) on Ribeira Grande, Cape Verde.</t>
  </si>
  <si>
    <t>['real', 'profiles', 'oceanography', 'scqc', 'time', 'woce', 'zooplankton', 'water', 'cruise', 'thompson', 'thomas', 'temperature', 'jgofs', 'odp', 'rosette']</t>
  </si>
  <si>
    <t>Iles Marquises, PF</t>
  </si>
  <si>
    <t>1992-1998</t>
  </si>
  <si>
    <t>A cluster of 6,668 oceanographic cruise profile datasets centered on the Îles Marquises (French Polynesia) collected from 1992–1998, primarily containing quality‑controlled WOCE‑style rosette water profiles measuring temperature, zooplankton and other hydrographic properties.</t>
  </si>
  <si>
    <t>['jgofs', 'thompson', 'thomas', 'rosette', 'ctd', 'station', 'zooplankton', 'bottle', 'chemistry', 'organic', 'discovery', 'carbon', 'particulate', 'total', 'bottles']</t>
  </si>
  <si>
    <t>Ash Sharqiyah, OM</t>
  </si>
  <si>
    <t>1994-1995</t>
  </si>
  <si>
    <t>A cluster of 4,526 marine oceanographic datasets from 1994–1995 centered on Ash Sharqiyah, Oman, documenting CTD/rosette bottle station work (JGOFS-era) measuring water chemistry and biological variables such as zooplankton and particulate/organic carbon.</t>
  </si>
  <si>
    <t>['floater', 'woce', 'profiling', 'water', 'real', 'temperature', 'profiles', 'float', 'oceanography', 'time', 'dcqc', 'cruise', 'zooplankton', 'salinity', 'scqc']</t>
  </si>
  <si>
    <t>Azores, PT</t>
  </si>
  <si>
    <t>About 4,879 quality-controlled WOCE-era oceanographic datasets centered near the Azores, Portugal, from 1991–2000, primarily consisting of profiling-float and cruise observations of water properties (temperature, salinity) and zooplankton time-series, including real-time profile data.</t>
  </si>
  <si>
    <t>['ice', 'mosaic', 'polarstern', 'sea', 'rov', 'sensor', 'arctic', 'snow', 'operated', 'fram', 'measured', 'solar', 'remotely', 'measurements', 'spectral']</t>
  </si>
  <si>
    <t>Svalbard, SJ</t>
  </si>
  <si>
    <t>2006-2020</t>
  </si>
  <si>
    <t>Between 2006 and 2020, this cluster of 7,515 datasets centered around Svalbard (Arctic) documents ship- and remotely-operated spectral and sensor measurements and mosaics of sea ice, snow and polar marine environments (Polarstern, Fram, ROV, solar sensors).</t>
  </si>
  <si>
    <t>['weather', 'dwd', 'forecasts', 'meteorological', 'cloud', 'wind', 'forecast', 'mosmix', 'pfcs', 'statistically', 'statistics', 'cover', 'locations', 'www', 'output']</t>
  </si>
  <si>
    <t>Hesse, DE</t>
  </si>
  <si>
    <t>2002-2021</t>
  </si>
  <si>
    <t>A cluster of 6,835 datasets (2002–2021) centered on Hesse, Germany, consisting of DWD meteorological forecast and statistically post-processed model-output products (e.g., MOSMIX) covering cloud cover, wind and other weather statistics.</t>
  </si>
  <si>
    <t>['proof', 'mar', 'oceans', 'zooplankton', 'underwater', 'ctd', 'sesame', 'rosette', 'jerico', 'chemistry', 'station', 'jgofs', 'link', 'interreg', 'observatory']</t>
  </si>
  <si>
    <t>Sardinia, IT</t>
  </si>
  <si>
    <t>1993-2017</t>
  </si>
  <si>
    <t>This cluster comprises 2,148 datasets (1993–2017) centered on Sardinia, Italy, documenting oceanographic and marine chemistry observations—CTD and rosette casts, underwater and zooplankton monitoring—from observatories and projects such as JERICO, JGOFS and Interreg.</t>
  </si>
  <si>
    <t>['survey', 'sea', 'sediment', 'zooplankton', 'collected', 'north', 'biologicalclassification', 'heincke', 'sylt', 'core', 'water', 'cruise', 'site', 'samples', 'marine']</t>
  </si>
  <si>
    <t>Lower Saxony, DE</t>
  </si>
  <si>
    <t>1994-2020</t>
  </si>
  <si>
    <t>A cluster of 11,128 marine survey datasets (1994–2020) centered (median) around Lower Saxony, Germany, documenting North Sea cruise-collected sediment and water samples, cores and zooplankton with biological classifications from sites such as Sylt and aboard vessels like the Heincke.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</si>
</sst>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4.86"/>
    <col customWidth="1" min="5" max="5" width="8.71"/>
    <col customWidth="1" min="6" max="6" width="13.86"/>
    <col customWidth="1" min="7" max="26" width="8.71"/>
  </cols>
  <sheetData>
    <row r="1">
      <c r="A1" s="1" t="s">
        <v>0</v>
      </c>
      <c r="B1" s="1" t="s">
        <v>1</v>
      </c>
      <c r="C1" s="1" t="s">
        <v>2</v>
      </c>
      <c r="D1" s="1" t="s">
        <v>3</v>
      </c>
      <c r="E1" s="1" t="s">
        <v>4</v>
      </c>
      <c r="F1" s="1" t="s">
        <v>5</v>
      </c>
      <c r="G1" s="1" t="s">
        <v>6</v>
      </c>
      <c r="H1" s="1" t="s">
        <v>7</v>
      </c>
    </row>
    <row r="2">
      <c r="A2" s="2">
        <v>0.0</v>
      </c>
      <c r="B2" s="2">
        <v>2110.0</v>
      </c>
      <c r="C2" s="2" t="s">
        <v>8</v>
      </c>
      <c r="D2" s="2" t="s">
        <v>9</v>
      </c>
      <c r="E2" s="2" t="s">
        <v>10</v>
      </c>
      <c r="F2" s="2" t="s">
        <v>11</v>
      </c>
      <c r="G2" s="2">
        <v>0.6427447199821472</v>
      </c>
      <c r="H2" s="2">
        <v>0.8221492767333984</v>
      </c>
    </row>
    <row r="3">
      <c r="A3" s="2">
        <v>1.0</v>
      </c>
      <c r="B3" s="2">
        <v>2857.0</v>
      </c>
      <c r="C3" s="2" t="s">
        <v>12</v>
      </c>
      <c r="D3" s="2" t="s">
        <v>13</v>
      </c>
      <c r="E3" s="2" t="s">
        <v>14</v>
      </c>
      <c r="F3" s="2" t="s">
        <v>15</v>
      </c>
      <c r="G3" s="2">
        <v>0.6063893437385559</v>
      </c>
      <c r="H3" s="2">
        <v>0.8271740674972534</v>
      </c>
    </row>
    <row r="4">
      <c r="A4" s="2">
        <v>2.0</v>
      </c>
      <c r="B4" s="2">
        <v>2479.0</v>
      </c>
      <c r="C4" s="2" t="s">
        <v>16</v>
      </c>
      <c r="D4" s="2" t="s">
        <v>17</v>
      </c>
      <c r="E4" s="2" t="s">
        <v>18</v>
      </c>
      <c r="F4" s="2" t="s">
        <v>19</v>
      </c>
      <c r="G4" s="2">
        <v>0.5918980836868286</v>
      </c>
      <c r="H4" s="2">
        <v>0.834983229637146</v>
      </c>
    </row>
    <row r="5">
      <c r="A5" s="2">
        <v>3.0</v>
      </c>
      <c r="B5" s="2">
        <v>3815.0</v>
      </c>
      <c r="C5" s="2" t="s">
        <v>20</v>
      </c>
      <c r="D5" s="2" t="s">
        <v>21</v>
      </c>
      <c r="E5" s="2" t="s">
        <v>22</v>
      </c>
      <c r="F5" s="2" t="s">
        <v>23</v>
      </c>
      <c r="G5" s="2">
        <v>0.6452580690383911</v>
      </c>
      <c r="H5" s="2">
        <v>0.8286219835281372</v>
      </c>
    </row>
    <row r="6">
      <c r="A6" s="2">
        <v>4.0</v>
      </c>
      <c r="B6" s="2">
        <v>3755.0</v>
      </c>
      <c r="C6" s="2" t="s">
        <v>24</v>
      </c>
      <c r="D6" s="2" t="s">
        <v>25</v>
      </c>
      <c r="E6" s="2" t="s">
        <v>26</v>
      </c>
      <c r="F6" s="2" t="s">
        <v>27</v>
      </c>
      <c r="G6" s="2">
        <v>0.6763450503349304</v>
      </c>
      <c r="H6" s="2">
        <v>0.8293630480766296</v>
      </c>
    </row>
    <row r="7">
      <c r="A7" s="2">
        <v>5.0</v>
      </c>
      <c r="B7" s="2">
        <v>3289.0</v>
      </c>
      <c r="C7" s="2" t="s">
        <v>28</v>
      </c>
      <c r="D7" s="2" t="s">
        <v>29</v>
      </c>
      <c r="E7" s="2" t="s">
        <v>30</v>
      </c>
      <c r="F7" s="2" t="s">
        <v>31</v>
      </c>
      <c r="G7" s="2">
        <v>0.6983078718185425</v>
      </c>
      <c r="H7" s="2">
        <v>0.8307792544364929</v>
      </c>
    </row>
    <row r="8">
      <c r="A8" s="2">
        <v>6.0</v>
      </c>
      <c r="B8" s="2">
        <v>23952.0</v>
      </c>
      <c r="C8" s="2" t="s">
        <v>32</v>
      </c>
      <c r="D8" s="2" t="s">
        <v>33</v>
      </c>
      <c r="E8" s="2" t="s">
        <v>34</v>
      </c>
      <c r="F8" s="2" t="s">
        <v>35</v>
      </c>
      <c r="G8" s="2">
        <v>0.7105043530464172</v>
      </c>
      <c r="H8" s="2">
        <v>0.8028569221496582</v>
      </c>
    </row>
    <row r="9">
      <c r="A9" s="2">
        <v>7.0</v>
      </c>
      <c r="B9" s="2">
        <v>4365.0</v>
      </c>
      <c r="C9" s="2" t="s">
        <v>36</v>
      </c>
      <c r="D9" s="2" t="s">
        <v>37</v>
      </c>
      <c r="E9" s="2" t="s">
        <v>38</v>
      </c>
      <c r="F9" s="2" t="s">
        <v>39</v>
      </c>
      <c r="G9" s="2">
        <v>0.5157563090324402</v>
      </c>
      <c r="H9" s="2">
        <v>0.775250256061554</v>
      </c>
    </row>
    <row r="10">
      <c r="A10" s="2">
        <v>8.0</v>
      </c>
      <c r="B10" s="2">
        <v>5783.0</v>
      </c>
      <c r="C10" s="2" t="s">
        <v>40</v>
      </c>
      <c r="D10" s="2" t="s">
        <v>41</v>
      </c>
      <c r="E10" s="2" t="s">
        <v>42</v>
      </c>
      <c r="F10" s="2" t="s">
        <v>43</v>
      </c>
      <c r="G10" s="2">
        <v>0.6681944727897644</v>
      </c>
      <c r="H10" s="2">
        <v>0.8347455263137817</v>
      </c>
    </row>
    <row r="11">
      <c r="A11" s="2">
        <v>9.0</v>
      </c>
      <c r="B11" s="2">
        <v>2092.0</v>
      </c>
      <c r="C11" s="2" t="s">
        <v>44</v>
      </c>
      <c r="D11" s="2" t="s">
        <v>45</v>
      </c>
      <c r="E11" s="2" t="s">
        <v>46</v>
      </c>
      <c r="F11" s="2" t="s">
        <v>47</v>
      </c>
      <c r="G11" s="2">
        <v>0.6673012971878052</v>
      </c>
      <c r="H11" s="2">
        <v>0.8270689845085144</v>
      </c>
    </row>
    <row r="12">
      <c r="A12" s="2">
        <v>10.0</v>
      </c>
      <c r="B12" s="2">
        <v>2984.0</v>
      </c>
      <c r="C12" s="2" t="s">
        <v>48</v>
      </c>
      <c r="D12" s="2" t="s">
        <v>49</v>
      </c>
      <c r="E12" s="2" t="s">
        <v>50</v>
      </c>
      <c r="F12" s="2" t="s">
        <v>51</v>
      </c>
      <c r="G12" s="2">
        <v>0.6750164031982422</v>
      </c>
      <c r="H12" s="2">
        <v>0.8184151649475098</v>
      </c>
    </row>
    <row r="13">
      <c r="A13" s="2">
        <v>11.0</v>
      </c>
      <c r="B13" s="2">
        <v>2718.0</v>
      </c>
      <c r="C13" s="2" t="s">
        <v>52</v>
      </c>
      <c r="D13" s="2" t="s">
        <v>53</v>
      </c>
      <c r="E13" s="2" t="s">
        <v>54</v>
      </c>
      <c r="F13" s="2" t="s">
        <v>55</v>
      </c>
      <c r="G13" s="2">
        <v>0.6003614068031311</v>
      </c>
      <c r="H13" s="2">
        <v>0.8216952681541443</v>
      </c>
    </row>
    <row r="14">
      <c r="A14" s="2">
        <v>12.0</v>
      </c>
      <c r="B14" s="2">
        <v>2419.0</v>
      </c>
      <c r="C14" s="2" t="s">
        <v>56</v>
      </c>
      <c r="D14" s="2" t="s">
        <v>57</v>
      </c>
      <c r="E14" s="2" t="s">
        <v>58</v>
      </c>
      <c r="F14" s="2" t="s">
        <v>59</v>
      </c>
      <c r="G14" s="2">
        <v>0.6537047028541565</v>
      </c>
      <c r="H14" s="2">
        <v>0.8014124631881714</v>
      </c>
    </row>
    <row r="15">
      <c r="A15" s="2">
        <v>13.0</v>
      </c>
      <c r="B15" s="2">
        <v>6668.0</v>
      </c>
      <c r="C15" s="2" t="s">
        <v>60</v>
      </c>
      <c r="D15" s="2" t="s">
        <v>61</v>
      </c>
      <c r="E15" s="2" t="s">
        <v>62</v>
      </c>
      <c r="F15" s="2" t="s">
        <v>63</v>
      </c>
      <c r="G15" s="2">
        <v>0.6361311674118042</v>
      </c>
      <c r="H15" s="2">
        <v>0.8149497509002686</v>
      </c>
    </row>
    <row r="16">
      <c r="A16" s="2">
        <v>14.0</v>
      </c>
      <c r="B16" s="2">
        <v>4526.0</v>
      </c>
      <c r="C16" s="2" t="s">
        <v>64</v>
      </c>
      <c r="D16" s="2" t="s">
        <v>65</v>
      </c>
      <c r="E16" s="2" t="s">
        <v>66</v>
      </c>
      <c r="F16" s="2" t="s">
        <v>67</v>
      </c>
      <c r="G16" s="2">
        <v>0.685172438621521</v>
      </c>
      <c r="H16" s="2">
        <v>0.8283264636993408</v>
      </c>
    </row>
    <row r="17">
      <c r="A17" s="2">
        <v>15.0</v>
      </c>
      <c r="B17" s="2">
        <v>4879.0</v>
      </c>
      <c r="C17" s="2" t="s">
        <v>68</v>
      </c>
      <c r="D17" s="2" t="s">
        <v>69</v>
      </c>
      <c r="E17" s="2" t="s">
        <v>54</v>
      </c>
      <c r="F17" s="2" t="s">
        <v>70</v>
      </c>
      <c r="G17" s="2">
        <v>0.6458582878112793</v>
      </c>
      <c r="H17" s="2">
        <v>0.8379798531532288</v>
      </c>
    </row>
    <row r="18">
      <c r="A18" s="2">
        <v>16.0</v>
      </c>
      <c r="B18" s="2">
        <v>7515.0</v>
      </c>
      <c r="C18" s="2" t="s">
        <v>71</v>
      </c>
      <c r="D18" s="2" t="s">
        <v>72</v>
      </c>
      <c r="E18" s="2" t="s">
        <v>73</v>
      </c>
      <c r="F18" s="2" t="s">
        <v>74</v>
      </c>
      <c r="G18" s="2">
        <v>0.6813031435012817</v>
      </c>
      <c r="H18" s="2">
        <v>0.8363274335861206</v>
      </c>
    </row>
    <row r="19">
      <c r="A19" s="2">
        <v>17.0</v>
      </c>
      <c r="B19" s="2">
        <v>6835.0</v>
      </c>
      <c r="C19" s="2" t="s">
        <v>75</v>
      </c>
      <c r="D19" s="2" t="s">
        <v>76</v>
      </c>
      <c r="E19" s="2" t="s">
        <v>77</v>
      </c>
      <c r="F19" s="2" t="s">
        <v>78</v>
      </c>
      <c r="G19" s="2">
        <v>0.6420936584472656</v>
      </c>
      <c r="H19" s="2">
        <v>0.840327799320221</v>
      </c>
    </row>
    <row r="20">
      <c r="A20" s="2">
        <v>18.0</v>
      </c>
      <c r="B20" s="2">
        <v>2148.0</v>
      </c>
      <c r="C20" s="2" t="s">
        <v>79</v>
      </c>
      <c r="D20" s="2" t="s">
        <v>80</v>
      </c>
      <c r="E20" s="2" t="s">
        <v>81</v>
      </c>
      <c r="F20" s="2" t="s">
        <v>82</v>
      </c>
      <c r="G20" s="2">
        <v>0.6470791697502136</v>
      </c>
      <c r="H20" s="2">
        <v>0.8454468846321106</v>
      </c>
    </row>
    <row r="21" ht="15.75" customHeight="1">
      <c r="A21" s="2">
        <v>19.0</v>
      </c>
      <c r="B21" s="2">
        <v>11128.0</v>
      </c>
      <c r="C21" s="2" t="s">
        <v>83</v>
      </c>
      <c r="D21" s="2" t="s">
        <v>84</v>
      </c>
      <c r="E21" s="2" t="s">
        <v>85</v>
      </c>
      <c r="F21" s="2" t="s">
        <v>86</v>
      </c>
      <c r="G21" s="2">
        <v>0.679802417755127</v>
      </c>
      <c r="H21" s="2">
        <v>0.8345751762390137</v>
      </c>
    </row>
    <row r="22" ht="15.75" customHeight="1">
      <c r="G22" s="2">
        <f t="shared" ref="G22:H22" si="1">AVERAGE(G2:G21)</f>
        <v>0.6484611183</v>
      </c>
      <c r="H22" s="2">
        <f t="shared" si="1"/>
        <v>0.8246224403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2026-03-31T21:12:15Z</dcterms:created>
  <dc:creator>openpyxl</dc:creator>
</cp:coreProperties>
</file>